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145cb98bf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" sheetId="1" r:id="R0b07d841daa0436b"/>
    <x:sheet xmlns:r="http://schemas.openxmlformats.org/officeDocument/2006/relationships" name="Orders" sheetId="2" r:id="R0b9063c0e811411d"/>
    <x:sheet xmlns:r="http://schemas.openxmlformats.org/officeDocument/2006/relationships" name="Stock" sheetId="3" r:id="R11c38b4cb8634a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0.00"/>
    <x:numFmt numFmtId="201" formatCode="0"/>
  </x:numFmts>
  <x:fonts count="5">
    <x:font>
      <x:sz val="11"/>
      <x:name val="Carlito"/>
    </x:font>
    <x:font>
      <x:sz val="11"/>
      <x:color rgb="FF17324D"/>
      <x:name val="Arial"/>
    </x:font>
    <x:font>
      <x:b/>
      <x:sz val="16"/>
      <x:color rgb="FF17324D"/>
      <x:name val="Arial"/>
    </x:font>
    <x:font>
      <x:i/>
      <x:sz val="11"/>
      <x:color rgb="FF1732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704D16"/>
      </x:font>
      <x:fill>
        <x:patternFill patternType="solid">
          <x:bgColor rgb="FFFFF0CE"/>
        </x:patternFill>
      </x:fill>
    </x:dxf>
    <x:dxf>
      <x:fill>
        <x:patternFill patternType="solid">
          <x:bgColor rgb="FFFCE8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f162c663e4eca" /><Relationship Type="http://schemas.openxmlformats.org/officeDocument/2006/relationships/theme" Target="/xl/theme/theme1.xml" Id="Ra574e466f5f04da6" /><Relationship Type="http://schemas.openxmlformats.org/officeDocument/2006/relationships/sharedStrings" Target="/xl/sharedStrings.xml" Id="R7f278d2d94f64114" /><Relationship Type="http://schemas.openxmlformats.org/officeDocument/2006/relationships/worksheet" Target="/xl/worksheets/sheet1.xml" Id="R0b07d841daa0436b" /><Relationship Type="http://schemas.openxmlformats.org/officeDocument/2006/relationships/worksheet" Target="/xl/worksheets/sheet2.xml" Id="R0b9063c0e811411d" /><Relationship Type="http://schemas.openxmlformats.org/officeDocument/2006/relationships/worksheet" Target="/xl/worksheets/sheet3.xml" Id="R11c38b4cb8634a3e" /></Relationships>
</file>

<file path=xl/tables/table1.xml><?xml version="1.0" encoding="utf-8"?>
<x:table xmlns:x="http://schemas.openxmlformats.org/spreadsheetml/2006/main" id="1" name="CatalogTable" displayName="CatalogTable" ref="A5:G13" headerRowCount="1" totalsRowCount="0" totalsRowShown="0">
  <x:tableColumns count="7">
    <x:tableColumn id="1" name="Source SKU"/>
    <x:tableColumn id="2" name="Original title"/>
    <x:tableColumn id="3" name="Prepared title"/>
    <x:tableColumn id="4" name="Proposed SKU"/>
    <x:tableColumn id="5" name="Price (USD)"/>
    <x:tableColumn id="6" name="Source SKU check"/>
    <x:tableColumn id="7" name="Open ques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sTable" displayName="OrdersTable" ref="A5:H13" headerRowCount="1" totalsRowCount="0" totalsRowShown="0">
  <x:tableColumns count="8">
    <x:tableColumn id="1" name="Order"/>
    <x:tableColumn id="2" name="Customer"/>
    <x:tableColumn id="3" name="Status"/>
    <x:tableColumn id="4" name="Latest record"/>
    <x:tableColumn id="5" name="Next action"/>
    <x:tableColumn id="6" name="Priority"/>
    <x:tableColumn id="7" name="Owner approval"/>
    <x:tableColumn id="8" name="Task s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ockTable" displayName="StockTable" ref="A5:G13" headerRowCount="1" totalsRowCount="0" totalsRowShown="0">
  <x:tableColumns count="7">
    <x:tableColumn id="1" name="SKU"/>
    <x:tableColumn id="2" name="On hand"/>
    <x:tableColumn id="3" name="Reserved"/>
    <x:tableColumn id="4" name="Available"/>
    <x:tableColumn id="5" name="Reorder point"/>
    <x:tableColumn id="6" name="Action"/>
    <x:tableColumn id="7" name="Review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82619f7e0b46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7a337602c94c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7bd648a6a940ef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.890000343322754" hidden="0" customWidth="1"/>
    <x:col min="2" max="2" width="24.440000534057617" hidden="0" customWidth="1"/>
    <x:col min="3" max="3" width="30" hidden="0" customWidth="1"/>
    <x:col min="4" max="4" width="15" hidden="0" customWidth="1"/>
    <x:col min="5" max="5" width="9.4399995803833" hidden="0" customWidth="1"/>
    <x:col min="6" max="6" width="14.4399995803833" hidden="0" customWidth="1"/>
    <x:col min="7" max="7" width="33.33000183105469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Catalog review</x:v>
      </x:c>
      <x:c r="B2" s="2"/>
      <x:c r="C2" s="2"/>
      <x:c r="D2" s="2"/>
      <x:c r="E2" s="2"/>
      <x:c r="F2" s="2"/>
      <x:c r="G2" s="2"/>
    </x:row>
    <x:row r="3">
      <x:c r="A3" s="4" t="str">
        <x:v>Source: fictional Alder &amp; Coast brief, October 9, 2026. Prepared titles and replacement SKU require review.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2" customHeight="1">
      <x:c r="A5" s="8" t="str">
        <x:v>Source SKU</x:v>
      </x:c>
      <x:c r="B5" s="8" t="str">
        <x:v>Original title</x:v>
      </x:c>
      <x:c r="C5" s="8" t="str">
        <x:v>Prepared title</x:v>
      </x:c>
      <x:c r="D5" s="8" t="str">
        <x:v>Proposed SKU</x:v>
      </x:c>
      <x:c r="E5" s="8" t="str">
        <x:v>Price (USD)</x:v>
      </x:c>
      <x:c r="F5" s="8" t="str">
        <x:v>Source SKU check</x:v>
      </x:c>
      <x:c r="G5" s="8" t="str">
        <x:v>Open question</x:v>
      </x:c>
    </x:row>
    <x:row r="6" ht="64" customHeight="1">
      <x:c r="A6" s="9" t="str">
        <x:v>AC-JAR-01</x:v>
      </x:c>
      <x:c r="B6" s="9" t="str">
        <x:v>glass jar 900ml bamboo top</x:v>
      </x:c>
      <x:c r="C6" s="9" t="str">
        <x:v>Glass Storage Jar with Bamboo Lid, 900 ml</x:v>
      </x:c>
      <x:c r="D6" s="9" t="str">
        <x:v>AC-JAR-01</x:v>
      </x:c>
      <x:c r="E6" s="10" t="n">
        <x:v>14</x:v>
      </x:c>
      <x:c r="F6" s="9" t="str">
        <x:f>IF(COUNTIFS($A$6:$A$13,A6)&gt;1,"Duplicate","Unique")</x:f>
        <x:v>Duplicate</x:v>
      </x:c>
      <x:c r="G6" s="9" t="str">
        <x:v>Confirm food-contact suitability; do not add airtight claim.</x:v>
      </x:c>
    </x:row>
    <x:row r="7" ht="64" customHeight="1">
      <x:c r="A7" s="9" t="str">
        <x:v>AC-TOTE-NT</x:v>
      </x:c>
      <x:c r="B7" s="9" t="str">
        <x:v>TOTE BAG NATURAL cotton</x:v>
      </x:c>
      <x:c r="C7" s="9" t="str">
        <x:v>Cotton Market Tote, Natural, 38 × 42 cm</x:v>
      </x:c>
      <x:c r="D7" s="9" t="str">
        <x:v>AC-TOTE-NT</x:v>
      </x:c>
      <x:c r="E7" s="10" t="n">
        <x:v>18</x:v>
      </x:c>
      <x:c r="F7" s="9" t="str">
        <x:f>IF(COUNTIFS($A$6:$A$13,A7)&gt;1,"Duplicate","Unique")</x:f>
        <x:v>Unique</x:v>
      </x:c>
      <x:c r="G7" s="9" t="str">
        <x:v>Capacity and care instructions not supplied.</x:v>
      </x:c>
    </x:row>
    <x:row r="8" ht="64" customHeight="1">
      <x:c r="A8" s="9" t="str">
        <x:v>AC-BOWL-SG</x:v>
      </x:c>
      <x:c r="B8" s="9" t="str">
        <x:v>ceramic bowl green small 450</x:v>
      </x:c>
      <x:c r="C8" s="9" t="str">
        <x:v>Ceramic Bowl, Sage, 450 ml</x:v>
      </x:c>
      <x:c r="D8" s="9" t="str">
        <x:v>AC-BOWL-SG</x:v>
      </x:c>
      <x:c r="E8" s="10" t="n">
        <x:v>12</x:v>
      </x:c>
      <x:c r="F8" s="9" t="str">
        <x:f>IF(COUNTIFS($A$6:$A$13,A8)&gt;1,"Duplicate","Unique")</x:f>
        <x:v>Unique</x:v>
      </x:c>
      <x:c r="G8" s="9" t="str">
        <x:v>Confirm microwave and dishwasher suitability.</x:v>
      </x:c>
    </x:row>
    <x:row r="9" ht="64" customHeight="1">
      <x:c r="A9" s="9" t="str">
        <x:v>AC-TWL-ST</x:v>
      </x:c>
      <x:c r="B9" s="9" t="str">
        <x:v>tea towel stripe 2pcs</x:v>
      </x:c>
      <x:c r="C9" s="9" t="str">
        <x:v>Cotton Tea Towels, Stripe, Set of 2</x:v>
      </x:c>
      <x:c r="D9" s="9" t="str">
        <x:v>AC-TWL-ST</x:v>
      </x:c>
      <x:c r="E9" s="10" t="n">
        <x:v>16</x:v>
      </x:c>
      <x:c r="F9" s="9" t="str">
        <x:f>IF(COUNTIFS($A$6:$A$13,A9)&gt;1,"Duplicate","Unique")</x:f>
        <x:v>Unique</x:v>
      </x:c>
      <x:c r="G9" s="9" t="str">
        <x:v>Care instructions not supplied.</x:v>
      </x:c>
    </x:row>
    <x:row r="10" ht="64" customHeight="1">
      <x:c r="A10" s="9" t="str">
        <x:v>AC-JAR-01</x:v>
      </x:c>
      <x:c r="B10" s="9" t="str">
        <x:v>oak tray rectangular 30x20</x:v>
      </x:c>
      <x:c r="C10" s="9" t="str">
        <x:v>Oak Serving Tray, 30 × 20 cm</x:v>
      </x:c>
      <x:c r="D10" s="9" t="str">
        <x:v>AC-TRAY-OA</x:v>
      </x:c>
      <x:c r="E10" s="10" t="n">
        <x:v>28</x:v>
      </x:c>
      <x:c r="F10" s="9" t="str">
        <x:f>IF(COUNTIFS($A$6:$A$13,A10)&gt;1,"Duplicate","Unique")</x:f>
        <x:v>Duplicate</x:v>
      </x:c>
      <x:c r="G10" s="9" t="str">
        <x:v>Approve replacement SKU before changing any identifier.</x:v>
      </x:c>
    </x:row>
    <x:row r="11" ht="64" customHeight="1">
      <x:c r="A11" s="9" t="str">
        <x:v>AC-MUG-CR</x:v>
      </x:c>
      <x:c r="B11" s="9" t="str">
        <x:v>cream mug 300 ML</x:v>
      </x:c>
      <x:c r="C11" s="9" t="str">
        <x:v>Ceramic Mug, Cream, 300 ml</x:v>
      </x:c>
      <x:c r="D11" s="9" t="str">
        <x:v>AC-MUG-CR</x:v>
      </x:c>
      <x:c r="E11" s="10" t="n">
        <x:v>13</x:v>
      </x:c>
      <x:c r="F11" s="9" t="str">
        <x:f>IF(COUNTIFS($A$6:$A$13,A11)&gt;1,"Duplicate","Unique")</x:f>
        <x:v>Unique</x:v>
      </x:c>
      <x:c r="G11" s="9" t="str">
        <x:v>Confirm care instructions.</x:v>
      </x:c>
    </x:row>
    <x:row r="12" ht="64" customHeight="1">
      <x:c r="A12" s="9" t="str">
        <x:v>AC-MAT-NT</x:v>
      </x:c>
      <x:c r="B12" s="9" t="str">
        <x:v>table mat woven natural</x:v>
      </x:c>
      <x:c r="C12" s="9" t="str">
        <x:v>Woven Placemat, Natural, 35 cm</x:v>
      </x:c>
      <x:c r="D12" s="9" t="str">
        <x:v>AC-MAT-NT</x:v>
      </x:c>
      <x:c r="E12" s="10" t="n">
        <x:v>9</x:v>
      </x:c>
      <x:c r="F12" s="9" t="str">
        <x:f>IF(COUNTIFS($A$6:$A$13,A12)&gt;1,"Duplicate","Unique")</x:f>
        <x:v>Unique</x:v>
      </x:c>
      <x:c r="G12" s="9" t="str">
        <x:v>Material composition not supplied.</x:v>
      </x:c>
    </x:row>
    <x:row r="13" ht="64" customHeight="1">
      <x:c r="A13" s="9" t="str">
        <x:v>AC-BSK-SM</x:v>
      </x:c>
      <x:c r="B13" s="9" t="str">
        <x:v>basket small 20x15</x:v>
      </x:c>
      <x:c r="C13" s="9" t="str">
        <x:v>Storage Basket, Natural, 20 × 15 cm</x:v>
      </x:c>
      <x:c r="D13" s="9" t="str">
        <x:v>AC-BSK-SM</x:v>
      </x:c>
      <x:c r="E13" s="10" t="n">
        <x:v>22</x:v>
      </x:c>
      <x:c r="F13" s="9" t="str">
        <x:f>IF(COUNTIFS($A$6:$A$13,A13)&gt;1,"Duplicate","Unique")</x:f>
        <x:v>Unique</x:v>
      </x:c>
      <x:c r="G13" s="9" t="str">
        <x:v>Confirm whether dimensions are external.</x:v>
      </x:c>
    </x:row>
    <x:row r="14">
      <x:c r="A14" s="2"/>
      <x:c r="B14" s="2"/>
      <x:c r="C14" s="2"/>
      <x:c r="D14" s="2"/>
      <x:c r="E14" s="2"/>
      <x:c r="F14" s="2"/>
      <x:c r="G14" s="2"/>
    </x:row>
    <x:row r="15">
      <x:c r="A15" s="2"/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</x:sheetData>
  <x:conditionalFormatting sqref="F6:F13">
    <x:cfRule type="containsText" dxfId="0" priority="1" operator="containsText" text="Duplicate"/>
  </x:conditionalFormatting>
  <x:pageMargins left="0.7" right="0.7" top="0.75" bottom="0.75" header="0.3" footer="0.3"/>
  <x:tableParts count="1">
    <x:tablePart xmlns:r="http://schemas.openxmlformats.org/officeDocument/2006/relationships" r:id="Rcc82619f7e0b461f"/>
  </x:tableParts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.779999732971191" hidden="0" customWidth="1"/>
    <x:col min="2" max="2" width="11.109999656677246" hidden="0" customWidth="1"/>
    <x:col min="3" max="3" width="16.110000610351562" hidden="0" customWidth="1"/>
    <x:col min="4" max="4" width="28.889999389648438" hidden="0" customWidth="1"/>
    <x:col min="5" max="5" width="33.33000183105469" hidden="0" customWidth="1"/>
    <x:col min="6" max="6" width="10" hidden="0" customWidth="1"/>
    <x:col min="7" max="7" width="12.779999732971191" hidden="0" customWidth="1"/>
    <x:col min="8" max="8" width="11.10999965667724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Daily order handoff</x:v>
      </x:c>
      <x:c r="B2" s="2"/>
      <x:c r="C2" s="2"/>
      <x:c r="D2" s="2"/>
      <x:c r="E2" s="2"/>
      <x:c r="F2" s="2"/>
      <x:c r="G2" s="2"/>
      <x:c r="H2" s="2"/>
    </x:row>
    <x:row r="3">
      <x:c r="A3" s="4" t="str">
        <x:v>Source: fictional records at October 9, 2026. Today = action at this fixed snapshot. Names are sample first names.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8" t="str">
        <x:v>Order</x:v>
      </x:c>
      <x:c r="B5" s="8" t="str">
        <x:v>Customer</x:v>
      </x:c>
      <x:c r="C5" s="8" t="str">
        <x:v>Status</x:v>
      </x:c>
      <x:c r="D5" s="8" t="str">
        <x:v>Latest record</x:v>
      </x:c>
      <x:c r="E5" s="8" t="str">
        <x:v>Next action</x:v>
      </x:c>
      <x:c r="F5" s="8" t="str">
        <x:v>Priority</x:v>
      </x:c>
      <x:c r="G5" s="8" t="str">
        <x:v>Owner approval</x:v>
      </x:c>
      <x:c r="H5" s="8" t="str">
        <x:v>Task state</x:v>
      </x:c>
    </x:row>
    <x:row r="6" ht="64" customHeight="1">
      <x:c r="A6" s="9" t="str">
        <x:v>AC-1041</x:v>
      </x:c>
      <x:c r="B6" s="9" t="str">
        <x:v>Mia</x:v>
      </x:c>
      <x:c r="C6" s="9" t="str">
        <x:v>In transit</x:v>
      </x:c>
      <x:c r="D6" s="9" t="str">
        <x:v>Carrier scan October 8.</x:v>
      </x:c>
      <x:c r="E6" s="9" t="str">
        <x:v>Monitor next scan.</x:v>
      </x:c>
      <x:c r="F6" s="9" t="str">
        <x:v>Monitor</x:v>
      </x:c>
      <x:c r="G6" s="9" t="str">
        <x:v>No</x:v>
      </x:c>
      <x:c r="H6" s="11" t="str">
        <x:v>Open</x:v>
      </x:c>
    </x:row>
    <x:row r="7" ht="64" customHeight="1">
      <x:c r="A7" s="9" t="str">
        <x:v>AC-1042</x:v>
      </x:c>
      <x:c r="B7" s="9" t="str">
        <x:v>Alex</x:v>
      </x:c>
      <x:c r="C7" s="9" t="str">
        <x:v>Address check</x:v>
      </x:c>
      <x:c r="D7" s="9" t="str">
        <x:v>Unit number missing; not dispatched.</x:v>
      </x:c>
      <x:c r="E7" s="9" t="str">
        <x:v>Confirm full address, request owner approval.</x:v>
      </x:c>
      <x:c r="F7" s="9" t="str">
        <x:v>Today</x:v>
      </x:c>
      <x:c r="G7" s="9" t="str">
        <x:v>Yes</x:v>
      </x:c>
      <x:c r="H7" s="11" t="str">
        <x:v>Open</x:v>
      </x:c>
    </x:row>
    <x:row r="8" ht="64" customHeight="1">
      <x:c r="A8" s="9" t="str">
        <x:v>AC-1043</x:v>
      </x:c>
      <x:c r="B8" s="9" t="str">
        <x:v>Sam</x:v>
      </x:c>
      <x:c r="C8" s="9" t="str">
        <x:v>Delivered</x:v>
      </x:c>
      <x:c r="D8" s="9" t="str">
        <x:v>Delivered October 7.</x:v>
      </x:c>
      <x:c r="E8" s="9" t="str">
        <x:v>No action required.</x:v>
      </x:c>
      <x:c r="F8" s="9" t="str">
        <x:v>None</x:v>
      </x:c>
      <x:c r="G8" s="9" t="str">
        <x:v>No</x:v>
      </x:c>
      <x:c r="H8" s="11" t="str">
        <x:v>Closed</x:v>
      </x:c>
    </x:row>
    <x:row r="9" ht="64" customHeight="1">
      <x:c r="A9" s="9" t="str">
        <x:v>AC-1044</x:v>
      </x:c>
      <x:c r="B9" s="9" t="str">
        <x:v>Jordan</x:v>
      </x:c>
      <x:c r="C9" s="9" t="str">
        <x:v>Follow up</x:v>
      </x:c>
      <x:c r="D9" s="9" t="str">
        <x:v>Last carrier scan October 6.</x:v>
      </x:c>
      <x:c r="E9" s="9" t="str">
        <x:v>Open carrier inquiry; share confirmed update.</x:v>
      </x:c>
      <x:c r="F9" s="9" t="str">
        <x:v>Today</x:v>
      </x:c>
      <x:c r="G9" s="9" t="str">
        <x:v>No</x:v>
      </x:c>
      <x:c r="H9" s="11" t="str">
        <x:v>Open</x:v>
      </x:c>
    </x:row>
    <x:row r="10" ht="64" customHeight="1">
      <x:c r="A10" s="9" t="str">
        <x:v>AC-1045</x:v>
      </x:c>
      <x:c r="B10" s="9" t="str">
        <x:v>Taylor</x:v>
      </x:c>
      <x:c r="C10" s="9" t="str">
        <x:v>Return request</x:v>
      </x:c>
      <x:c r="D10" s="9" t="str">
        <x:v>Delivered October 3; requested October 9.</x:v>
      </x:c>
      <x:c r="E10" s="9" t="str">
        <x:v>Confirm unused condition and return eligibility.</x:v>
      </x:c>
      <x:c r="F10" s="9" t="str">
        <x:v>Today</x:v>
      </x:c>
      <x:c r="G10" s="9" t="str">
        <x:v>Yes</x:v>
      </x:c>
      <x:c r="H10" s="11" t="str">
        <x:v>Open</x:v>
      </x:c>
    </x:row>
    <x:row r="11" ht="64" customHeight="1">
      <x:c r="A11" s="9" t="str">
        <x:v>AC-1046</x:v>
      </x:c>
      <x:c r="B11" s="9" t="str">
        <x:v>Casey</x:v>
      </x:c>
      <x:c r="C11" s="9" t="str">
        <x:v>Delivered</x:v>
      </x:c>
      <x:c r="D11" s="9" t="str">
        <x:v>Delivered October 8.</x:v>
      </x:c>
      <x:c r="E11" s="9" t="str">
        <x:v>No action required.</x:v>
      </x:c>
      <x:c r="F11" s="9" t="str">
        <x:v>None</x:v>
      </x:c>
      <x:c r="G11" s="9" t="str">
        <x:v>No</x:v>
      </x:c>
      <x:c r="H11" s="11" t="str">
        <x:v>Closed</x:v>
      </x:c>
    </x:row>
    <x:row r="12" ht="64" customHeight="1">
      <x:c r="A12" s="9" t="str">
        <x:v>AC-1047</x:v>
      </x:c>
      <x:c r="B12" s="9" t="str">
        <x:v>Morgan</x:v>
      </x:c>
      <x:c r="C12" s="9" t="str">
        <x:v>Packing</x:v>
      </x:c>
      <x:c r="D12" s="9" t="str">
        <x:v>Payment confirmed; label not created.</x:v>
      </x:c>
      <x:c r="E12" s="9" t="str">
        <x:v>Check SKU and quantity before packing.</x:v>
      </x:c>
      <x:c r="F12" s="9" t="str">
        <x:v>Today</x:v>
      </x:c>
      <x:c r="G12" s="9" t="str">
        <x:v>No</x:v>
      </x:c>
      <x:c r="H12" s="11" t="str">
        <x:v>Open</x:v>
      </x:c>
    </x:row>
    <x:row r="13" ht="64" customHeight="1">
      <x:c r="A13" s="9" t="str">
        <x:v>AC-1048</x:v>
      </x:c>
      <x:c r="B13" s="9" t="str">
        <x:v>Jamie</x:v>
      </x:c>
      <x:c r="C13" s="9" t="str">
        <x:v>Payment pending</x:v>
      </x:c>
      <x:c r="D13" s="9" t="str">
        <x:v>No payment confirmation in sample record.</x:v>
      </x:c>
      <x:c r="E13" s="9" t="str">
        <x:v>Check payment status before release.</x:v>
      </x:c>
      <x:c r="F13" s="9" t="str">
        <x:v>Today</x:v>
      </x:c>
      <x:c r="G13" s="9" t="str">
        <x:v>Yes</x:v>
      </x:c>
      <x:c r="H13" s="11" t="str">
        <x:v>Open</x:v>
      </x:c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 t="str">
        <x:v>Open tasks</x:v>
      </x:c>
      <x:c r="B15" s="2" t="n">
        <x:f>COUNTIFS(H6:H13,"Open")</x:f>
        <x:v>6</x:v>
      </x:c>
      <x:c r="C15" s="2"/>
      <x:c r="D15" s="2" t="str">
        <x:v>Open tasks requiring owner approval</x:v>
      </x:c>
      <x:c r="E15" s="2" t="n">
        <x:f>COUNTIFS(G6:G13,"Yes",H6:H13,"Open")</x:f>
        <x:v>3</x:v>
      </x:c>
      <x:c r="F15" s="2"/>
      <x:c r="G15" s="2"/>
      <x:c r="H15" s="2"/>
    </x:row>
    <x:row r="16">
      <x:c r="A16" s="2" t="str">
        <x:v>Amber task-state cells are editable. Closing one updates the counts.</x:v>
      </x:c>
      <x:c r="B16" s="2"/>
      <x:c r="C16" s="2"/>
      <x:c r="D16" s="2"/>
      <x:c r="E16" s="2"/>
      <x:c r="F16" s="2"/>
      <x:c r="G16" s="2"/>
      <x:c r="H16" s="2"/>
    </x:row>
  </x:sheetData>
  <x:dataValidations count="1">
    <x:dataValidation type="list" sqref="H6:H13">
      <x:formula1>"Open,Closed"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7a337602c94c00"/>
  </x:tableParts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.670000076293945" hidden="0" customWidth="1"/>
    <x:col min="2" max="2" width="10" hidden="0" customWidth="1"/>
    <x:col min="3" max="3" width="10" hidden="0" customWidth="1"/>
    <x:col min="4" max="4" width="10.5600004196167" hidden="0" customWidth="1"/>
    <x:col min="5" max="5" width="12.220000267028809" hidden="0" customWidth="1"/>
    <x:col min="6" max="6" width="19.440000534057617" hidden="0" customWidth="1"/>
    <x:col min="7" max="7" width="4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Stock availability review</x:v>
      </x:c>
      <x:c r="B2" s="2"/>
      <x:c r="C2" s="2"/>
      <x:c r="D2" s="2"/>
      <x:c r="E2" s="2"/>
      <x:c r="F2" s="2"/>
      <x:c r="G2" s="2"/>
    </x:row>
    <x:row r="3">
      <x:c r="A3" s="4" t="str">
        <x:v>Source: separate fictional stock snapshot. Reserved units are already included; do not subtract the order list again.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2" customHeight="1">
      <x:c r="A5" s="8" t="str">
        <x:v>SKU</x:v>
      </x:c>
      <x:c r="B5" s="8" t="str">
        <x:v>On hand</x:v>
      </x:c>
      <x:c r="C5" s="8" t="str">
        <x:v>Reserved</x:v>
      </x:c>
      <x:c r="D5" s="8" t="str">
        <x:v>Available</x:v>
      </x:c>
      <x:c r="E5" s="8" t="str">
        <x:v>Reorder point</x:v>
      </x:c>
      <x:c r="F5" s="8" t="str">
        <x:v>Action</x:v>
      </x:c>
      <x:c r="G5" s="8" t="str">
        <x:v>Review note</x:v>
      </x:c>
    </x:row>
    <x:row r="6" ht="64" customHeight="1">
      <x:c r="A6" s="9" t="str">
        <x:v>AC-JAR-01</x:v>
      </x:c>
      <x:c r="B6" s="12" t="n">
        <x:v>18</x:v>
      </x:c>
      <x:c r="C6" s="12" t="n">
        <x:v>4</x:v>
      </x:c>
      <x:c r="D6" s="13" t="n">
        <x:f>IF(OR(NOT(ISNUMBER(B6)),NOT(ISNUMBER(C6))),"Missing count",B6-C6)</x:f>
        <x:v>14</x:v>
      </x:c>
      <x:c r="E6" s="12" t="n">
        <x:v>6</x:v>
      </x:c>
      <x:c r="F6" s="9" t="str">
        <x:f>IF(NOT(ISNUMBER(D6)),"Count required",IF(NOT(ISNUMBER(E6)),"Set reorder point",IF(D6&lt;0,"Check allocation",IF(D6&lt;=E6,"Review reorder","Monitor"))))</x:f>
        <x:v>Monitor</x:v>
      </x:c>
      <x:c r="G6" s="9" t="str">
        <x:v>Reorder point is a sample planning assumption.</x:v>
      </x:c>
    </x:row>
    <x:row r="7" ht="64" customHeight="1">
      <x:c r="A7" s="9" t="str">
        <x:v>AC-TOTE-NT</x:v>
      </x:c>
      <x:c r="B7" s="12" t="n">
        <x:v>7</x:v>
      </x:c>
      <x:c r="C7" s="12" t="n">
        <x:v>3</x:v>
      </x:c>
      <x:c r="D7" s="13" t="n">
        <x:f>IF(OR(NOT(ISNUMBER(B7)),NOT(ISNUMBER(C7))),"Missing count",B7-C7)</x:f>
        <x:v>4</x:v>
      </x:c>
      <x:c r="E7" s="12" t="n">
        <x:v>5</x:v>
      </x:c>
      <x:c r="F7" s="9" t="str">
        <x:f>IF(NOT(ISNUMBER(D7)),"Count required",IF(NOT(ISNUMBER(E7)),"Set reorder point",IF(D7&lt;0,"Check allocation",IF(D7&lt;=E7,"Review reorder","Monitor"))))</x:f>
        <x:v>Review reorder</x:v>
      </x:c>
      <x:c r="G7" s="9" t="str">
        <x:v>Reorder point is a sample planning assumption.</x:v>
      </x:c>
    </x:row>
    <x:row r="8" ht="64" customHeight="1">
      <x:c r="A8" s="9" t="str">
        <x:v>AC-BOWL-SG</x:v>
      </x:c>
      <x:c r="B8" s="12" t="n">
        <x:v>12</x:v>
      </x:c>
      <x:c r="C8" s="12" t="n">
        <x:v>2</x:v>
      </x:c>
      <x:c r="D8" s="13" t="n">
        <x:f>IF(OR(NOT(ISNUMBER(B8)),NOT(ISNUMBER(C8))),"Missing count",B8-C8)</x:f>
        <x:v>10</x:v>
      </x:c>
      <x:c r="E8" s="12" t="n">
        <x:v>4</x:v>
      </x:c>
      <x:c r="F8" s="9" t="str">
        <x:f>IF(NOT(ISNUMBER(D8)),"Count required",IF(NOT(ISNUMBER(E8)),"Set reorder point",IF(D8&lt;0,"Check allocation",IF(D8&lt;=E8,"Review reorder","Monitor"))))</x:f>
        <x:v>Monitor</x:v>
      </x:c>
      <x:c r="G8" s="9" t="str">
        <x:v>Reorder point is a sample planning assumption.</x:v>
      </x:c>
    </x:row>
    <x:row r="9" ht="64" customHeight="1">
      <x:c r="A9" s="9" t="str">
        <x:v>AC-TWL-ST</x:v>
      </x:c>
      <x:c r="B9" s="12" t="n">
        <x:v>5</x:v>
      </x:c>
      <x:c r="C9" s="12" t="n">
        <x:v>1</x:v>
      </x:c>
      <x:c r="D9" s="13" t="n">
        <x:f>IF(OR(NOT(ISNUMBER(B9)),NOT(ISNUMBER(C9))),"Missing count",B9-C9)</x:f>
        <x:v>4</x:v>
      </x:c>
      <x:c r="E9" s="12" t="n">
        <x:v>4</x:v>
      </x:c>
      <x:c r="F9" s="9" t="str">
        <x:f>IF(NOT(ISNUMBER(D9)),"Count required",IF(NOT(ISNUMBER(E9)),"Set reorder point",IF(D9&lt;0,"Check allocation",IF(D9&lt;=E9,"Review reorder","Monitor"))))</x:f>
        <x:v>Review reorder</x:v>
      </x:c>
      <x:c r="G9" s="9" t="str">
        <x:v>Reorder point is a sample planning assumption.</x:v>
      </x:c>
    </x:row>
    <x:row r="10" ht="64" customHeight="1">
      <x:c r="A10" s="9" t="str">
        <x:v>AC-TRAY-OA</x:v>
      </x:c>
      <x:c r="B10" s="12" t="n">
        <x:v>9</x:v>
      </x:c>
      <x:c r="C10" s="12" t="n">
        <x:v>2</x:v>
      </x:c>
      <x:c r="D10" s="13" t="n">
        <x:f>IF(OR(NOT(ISNUMBER(B10)),NOT(ISNUMBER(C10))),"Missing count",B10-C10)</x:f>
        <x:v>7</x:v>
      </x:c>
      <x:c r="E10" s="12" t="n">
        <x:v>3</x:v>
      </x:c>
      <x:c r="F10" s="9" t="str">
        <x:f>IF(NOT(ISNUMBER(D10)),"Count required",IF(NOT(ISNUMBER(E10)),"Set reorder point",IF(D10&lt;0,"Check allocation",IF(D10&lt;=E10,"Review reorder","Monitor"))))</x:f>
        <x:v>Monitor</x:v>
      </x:c>
      <x:c r="G10" s="9" t="str">
        <x:v>Reorder point is a sample planning assumption.</x:v>
      </x:c>
    </x:row>
    <x:row r="11" ht="64" customHeight="1">
      <x:c r="A11" s="9" t="str">
        <x:v>AC-MUG-CR</x:v>
      </x:c>
      <x:c r="B11" s="12" t="n">
        <x:v>15</x:v>
      </x:c>
      <x:c r="C11" s="12" t="n">
        <x:v>5</x:v>
      </x:c>
      <x:c r="D11" s="13" t="n">
        <x:f>IF(OR(NOT(ISNUMBER(B11)),NOT(ISNUMBER(C11))),"Missing count",B11-C11)</x:f>
        <x:v>10</x:v>
      </x:c>
      <x:c r="E11" s="12" t="n">
        <x:v>5</x:v>
      </x:c>
      <x:c r="F11" s="9" t="str">
        <x:f>IF(NOT(ISNUMBER(D11)),"Count required",IF(NOT(ISNUMBER(E11)),"Set reorder point",IF(D11&lt;0,"Check allocation",IF(D11&lt;=E11,"Review reorder","Monitor"))))</x:f>
        <x:v>Monitor</x:v>
      </x:c>
      <x:c r="G11" s="9" t="str">
        <x:v>Reorder point is a sample planning assumption.</x:v>
      </x:c>
    </x:row>
    <x:row r="12" ht="64" customHeight="1">
      <x:c r="A12" s="9" t="str">
        <x:v>AC-MAT-NT</x:v>
      </x:c>
      <x:c r="B12" s="12" t="n">
        <x:v>4</x:v>
      </x:c>
      <x:c r="C12" s="12" t="n">
        <x:v>4</x:v>
      </x:c>
      <x:c r="D12" s="13" t="n">
        <x:f>IF(OR(NOT(ISNUMBER(B12)),NOT(ISNUMBER(C12))),"Missing count",B12-C12)</x:f>
        <x:v>0</x:v>
      </x:c>
      <x:c r="E12" s="12" t="n">
        <x:v>3</x:v>
      </x:c>
      <x:c r="F12" s="9" t="str">
        <x:f>IF(NOT(ISNUMBER(D12)),"Count required",IF(NOT(ISNUMBER(E12)),"Set reorder point",IF(D12&lt;0,"Check allocation",IF(D12&lt;=E12,"Review reorder","Monitor"))))</x:f>
        <x:v>Review reorder</x:v>
      </x:c>
      <x:c r="G12" s="9" t="str">
        <x:v>Reorder point is a sample planning assumption.</x:v>
      </x:c>
    </x:row>
    <x:row r="13" ht="64" customHeight="1">
      <x:c r="A13" s="9" t="str">
        <x:v>AC-BSK-SM</x:v>
      </x:c>
      <x:c r="B13" s="12"/>
      <x:c r="C13" s="12" t="n">
        <x:v>1</x:v>
      </x:c>
      <x:c r="D13" s="13" t="str">
        <x:f>IF(OR(NOT(ISNUMBER(B13)),NOT(ISNUMBER(C13))),"Missing count",B13-C13)</x:f>
        <x:v>Missing count</x:v>
      </x:c>
      <x:c r="E13" s="12" t="n">
        <x:v>2</x:v>
      </x:c>
      <x:c r="F13" s="9" t="str">
        <x:f>IF(NOT(ISNUMBER(D13)),"Count required",IF(NOT(ISNUMBER(E13)),"Set reorder point",IF(D13&lt;0,"Check allocation",IF(D13&lt;=E13,"Review reorder","Monitor"))))</x:f>
        <x:v>Count required</x:v>
      </x:c>
      <x:c r="G13" s="9" t="str">
        <x:v>Physical count missing.</x:v>
      </x:c>
    </x:row>
    <x:row r="14">
      <x:c r="A14" s="2"/>
      <x:c r="B14" s="2"/>
      <x:c r="C14" s="2"/>
      <x:c r="D14" s="2"/>
      <x:c r="E14" s="2"/>
      <x:c r="F14" s="2"/>
      <x:c r="G14" s="2"/>
    </x:row>
    <x:row r="15">
      <x:c r="A15" s="2" t="str">
        <x:v>Edit amber inputs. Available = on hand − reserved. No purchase order is created by this workbook.</x:v>
      </x:c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</x:sheetData>
  <x:conditionalFormatting sqref="F6:F13">
    <x:cfRule type="containsText" dxfId="1" priority="1" operator="containsText" text="required"/>
  </x:conditionalFormatting>
  <x:pageMargins left="0.7" right="0.7" top="0.75" bottom="0.75" header="0.3" footer="0.3"/>
  <x:tableParts count="1">
    <x:tablePart xmlns:r="http://schemas.openxmlformats.org/officeDocument/2006/relationships" r:id="R007bd648a6a940ef"/>
  </x:tableParts>
</x:worksheet>
</file>